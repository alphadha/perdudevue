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Estimatif par Epic" sheetId="2" r:id="rId6"/>
  </sheets>
  <definedNames>
    <definedName hidden="1" localSheetId="0" name="_xlnm._FilterDatabase">Backlog!$A$1:$C$49</definedName>
  </definedNames>
  <calcPr/>
</workbook>
</file>

<file path=xl/sharedStrings.xml><?xml version="1.0" encoding="utf-8"?>
<sst xmlns="http://schemas.openxmlformats.org/spreadsheetml/2006/main" count="165" uniqueCount="115">
  <si>
    <t>ID</t>
  </si>
  <si>
    <t>Epic</t>
  </si>
  <si>
    <t>User Story</t>
  </si>
  <si>
    <t>AU-01</t>
  </si>
  <si>
    <t>Auth &amp; Accès</t>
  </si>
  <si>
    <t>En tant qu'opticien, je peux me connecter avec mon email et mot de passe afin d'accéder à mon espace</t>
  </si>
  <si>
    <t>AU-02</t>
  </si>
  <si>
    <t>En tant qu'admin, je peux me connecter à un espace distinct afin de gérer la plateforme</t>
  </si>
  <si>
    <t>AU-03</t>
  </si>
  <si>
    <t>En tant qu'utilisateur, je peux réinitialiser mon mot de passe par email afin de récupérer mon accès</t>
  </si>
  <si>
    <t>AU-04</t>
  </si>
  <si>
    <t>En tant que client, je peux accéder à mon espace via un lien magique reçu par email afin de consulter mes lunettes sans créer de compte</t>
  </si>
  <si>
    <t>AU-05</t>
  </si>
  <si>
    <t>En tant que client, je peux accéder à une page de restitution publique via lien email sans connexion afin de voir les détails de mes lunettes retrouvées</t>
  </si>
  <si>
    <t>OP-01</t>
  </si>
  <si>
    <t>Espace Opticien</t>
  </si>
  <si>
    <t>En tant qu'opticien, je vois mon tableau de bord avec les KPIs clés (lunettes en attente, lunettes enregistrées, codes disponibles, clients enregistrés) afin d'avoir une vue rapide</t>
  </si>
  <si>
    <t>OP-02</t>
  </si>
  <si>
    <t>En tant qu'opticien, j'accède aux actions rapides (Scanner un code retrouvé, Remise au client, Créer un client, Enregistrer une paire) depuis le tableau de bord afin d'agir rapidement</t>
  </si>
  <si>
    <t>OP-03</t>
  </si>
  <si>
    <t>En tant qu'opticien, je vois la liste des lunettes en attente de retrait avec le nom du client et le statut Notifié afin de traiter les restitutions</t>
  </si>
  <si>
    <t>OP-04</t>
  </si>
  <si>
    <t>En tant qu'opticien, je peux naviguer dans mon espace via un menu latéral (Tableau de bord, Clients, Lunettes, Restitutions) afin d'accéder à toutes les sections</t>
  </si>
  <si>
    <t>CL-01</t>
  </si>
  <si>
    <t>Gestion Clients</t>
  </si>
  <si>
    <t>En tant qu'opticien, je peux créer un client (prénom, nom, email, téléphone optionnel) afin de l'enregistrer dans ma base</t>
  </si>
  <si>
    <t>CL-02</t>
  </si>
  <si>
    <t>En tant qu'opticien, je peux consulter la liste de mes clients avec recherche et filtres afin de retrouver un client rapidement</t>
  </si>
  <si>
    <t>CL-03</t>
  </si>
  <si>
    <t>En tant qu'opticien, je peux consulter la fiche d'un client avec ses lunettes enregistrées et l'historique des restitutions afin de suivre son dossier</t>
  </si>
  <si>
    <t>CL-04</t>
  </si>
  <si>
    <t>En tant qu'opticien, je peux modifier les informations d'un client (nom, email, téléphone) afin de maintenir ma base à jour</t>
  </si>
  <si>
    <t>CL-05</t>
  </si>
  <si>
    <t>En tant que client, je reçois un email de bienvenue avec un lien d'accès à mon espace afin de consulter mes lunettes</t>
  </si>
  <si>
    <t>LU-01</t>
  </si>
  <si>
    <t>Gestion Lunettes &amp; Codes</t>
  </si>
  <si>
    <t>En tant qu'opticien, je peux enregistrer une paire (client, type de lunettes, libellé optionnel) et obtenir un code unique généré automatiquement afin de tracer la paire</t>
  </si>
  <si>
    <t>LU-02</t>
  </si>
  <si>
    <t>En tant qu'opticien, je peux consulter la liste de toutes les lunettes de mon parc avec filtres (type, statut) afin d'avoir une vue d'ensemble</t>
  </si>
  <si>
    <t>LU-03</t>
  </si>
  <si>
    <t>En tant qu'admin, je peux gérer des parcs de codes (créer, attribuer à un opticien, suivre la consommation) afin d'alimenter les opticiens en codes</t>
  </si>
  <si>
    <t>LU-04</t>
  </si>
  <si>
    <t>En tant qu'admin, je peux consulter la liste des codes lunettes générés avec leur statut (attribué, utilisé, disponible) afin de gérer le référentiel</t>
  </si>
  <si>
    <t>LU-05</t>
  </si>
  <si>
    <t>En tant qu'opticien, je vois le nombre de codes disponibles dans mon tableau de bord afin de savoir quand en demander</t>
  </si>
  <si>
    <t>LU-06</t>
  </si>
  <si>
    <t>En tant qu'opticien, je peux consulter la fiche détail d'une paire (client, code, type, statut, historique restitutions) afin de suivre son parcours</t>
  </si>
  <si>
    <t>RE-01</t>
  </si>
  <si>
    <t>Restitution</t>
  </si>
  <si>
    <t>En tant que client, je peux déclarer une paire comme perdue depuis mon espace afin de déclencher le processus de recherche</t>
  </si>
  <si>
    <t>RE-02</t>
  </si>
  <si>
    <t>En tant qu'opticien, je peux scanner ou saisir le code d'une paire retrouvée afin de signaler sa découverte</t>
  </si>
  <si>
    <t>RE-03</t>
  </si>
  <si>
    <t>En tant qu'opticien, je peux saisir le code de retrait présenté par le client pour ouvrir la fiche de restitution afin de finaliser la remise</t>
  </si>
  <si>
    <t>RE-04</t>
  </si>
  <si>
    <t>En tant qu'opticien, je peux consulter et traiter la fiche de restitution d'un client (confirmer la remise physique) afin de clôturer le dossier</t>
  </si>
  <si>
    <t>RE-05</t>
  </si>
  <si>
    <t>En tant qu'opticien, je peux consulter la liste de tous les dossiers de restitution (en attente, traités) avec filtres afin de gérer ma file</t>
  </si>
  <si>
    <t>RE-06</t>
  </si>
  <si>
    <t>En tant que système, un code de retrait unique est généré automatiquement lors de la découverte d'une paire afin de sécuriser la remise</t>
  </si>
  <si>
    <t>RE-07</t>
  </si>
  <si>
    <t>En tant qu'opticien, je peux consulter les notifications de restitution en attente via l'icône cloche afin d'être alerté</t>
  </si>
  <si>
    <t>EC-01</t>
  </si>
  <si>
    <t>Espace Client</t>
  </si>
  <si>
    <t>En tant que client, je peux consulter la liste de mes paires enregistrées avec leur statut (Enregistrée / Restituée) afin de suivre mes lunettes</t>
  </si>
  <si>
    <t>EC-02</t>
  </si>
  <si>
    <t>En tant que client, je peux consulter la page de restitution publique (sans connexion) avec le détail de mes lunettes retrouvées, la localisation de l'opticien sur carte et le code de retrait afin de récupérer mes lunettes</t>
  </si>
  <si>
    <t>EC-03</t>
  </si>
  <si>
    <t>En tant que client, je peux demander le renvoi du code de retrait par email afin de ne pas rester bloqué si j'ai perdu l'email</t>
  </si>
  <si>
    <t>NO-01</t>
  </si>
  <si>
    <t>Notifications &amp; Emails</t>
  </si>
  <si>
    <t>En tant que client, je reçois un email de restitution avec le code de retrait et le nom de l'opticien dès que mes lunettes sont signalées comme retrouvées afin d'être informé</t>
  </si>
  <si>
    <t>NO-02</t>
  </si>
  <si>
    <t>En tant que client, je reçois un email de localisation avec la carte de l'opticien ayant retrouvé mes lunettes afin de savoir où les récupérer</t>
  </si>
  <si>
    <t>NO-03</t>
  </si>
  <si>
    <t>En tant qu'opticien, je reçois une notification in-app quand un client déclare une paire perdue afin d'être alerté</t>
  </si>
  <si>
    <t>NO-04</t>
  </si>
  <si>
    <t>En tant que client, je reçois un email de bienvenue à la création de mon compte opticien avec un lien pour activer mon compte afin de sécuriser l'accès</t>
  </si>
  <si>
    <t>NO-05</t>
  </si>
  <si>
    <t>En tant que système, tous les emails transactionnels respectent le design Perdues de vue (logo, couleurs, footer) afin d'assurer la cohérence de marque</t>
  </si>
  <si>
    <t>BO-01</t>
  </si>
  <si>
    <t>Back Office Admin</t>
  </si>
  <si>
    <t>En tant qu'admin, je vois un dashboard avec les KPIs globaux (nb opticiens, clients enregistrés, restitutions en attente) et les courbes d'évolution sur 12 mois afin de piloter la plateforme</t>
  </si>
  <si>
    <t>BO-02</t>
  </si>
  <si>
    <t>En tant qu'admin, je vois le classement des opticiens (codes attribués, consommés, restitutions) afin d'identifier les plus actifs</t>
  </si>
  <si>
    <t>BO-03</t>
  </si>
  <si>
    <t>En tant qu'admin, je peux gérer la liste des opticiens (créer, modifier, bloquer, voir leur activité) afin de maintenir le référentiel</t>
  </si>
  <si>
    <t>BO-04</t>
  </si>
  <si>
    <t>En tant qu'admin, je peux gérer la liste des utilisateurs clients (consulter, bloquer) afin de modérer la plateforme</t>
  </si>
  <si>
    <t>BO-05</t>
  </si>
  <si>
    <t>En tant qu'admin, je peux consulter tous les dossiers de restitution (toutes opticiens confondus) avec filtres afin d'avoir une vue globale</t>
  </si>
  <si>
    <t>GR-01</t>
  </si>
  <si>
    <t>Intégration Gravure</t>
  </si>
  <si>
    <t>En tant qu'opticien, je peux exporter les codes d'une ou plusieurs paires vers un fichier CSV/TXT ou format demandé</t>
  </si>
  <si>
    <t>OP-05</t>
  </si>
  <si>
    <t>En tant qu'admin, je peux créer un compte opticien via le back-office (nom entreprise, email, adresse, contact référent) et lui envoyer ses identifiants afin de l'onboarder</t>
  </si>
  <si>
    <t>EC-04</t>
  </si>
  <si>
    <t>En tant que particulier, je peux créer mon compte de manière autonome sur le site public (nom, prénom, email, mot de passe) afin de suivre mes lunettes même sans opticien référent initial</t>
  </si>
  <si>
    <t>LU-07</t>
  </si>
  <si>
    <t>En tant qu'opticien, je peux modifier (libellé, type) ou supprimer une paire de mon parc afin de corriger une erreur ou libérer un code</t>
  </si>
  <si>
    <t>BO-06</t>
  </si>
  <si>
    <t>En tant qu'admin, je peux consulter et gérer la matrice des rôles et permissions (opticien, client, admin) afin de contrôler qui accède à quoi</t>
  </si>
  <si>
    <t>SE-01</t>
  </si>
  <si>
    <t>Sécurité &amp; RGPD</t>
  </si>
  <si>
    <t>En tant qu'utilisateur (opticien ou client), je dois cocher les CGU et la politique de confidentialité à l'inscription afin d'être en conformité RGPD</t>
  </si>
  <si>
    <t>SE-03</t>
  </si>
  <si>
    <t>En tant que système, je journalise les accès aux données personnelles (fiche client, paires, restitutions) afin de garantir la traçabilité et de respecter les obligations RGPD</t>
  </si>
  <si>
    <t>AR-01</t>
  </si>
  <si>
    <t>Architecture</t>
  </si>
  <si>
    <t>En tant que système, l'application est déployée sur des environnements séparés (dev, recette, prod) afin de sécuriser les mises en production</t>
  </si>
  <si>
    <t>TOTAL</t>
  </si>
  <si>
    <t>Nb Stories</t>
  </si>
  <si>
    <t>Front (j)</t>
  </si>
  <si>
    <t>Back (j)</t>
  </si>
  <si>
    <t>Total (j)</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</si>
</sst>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b/>
      <sz val="11.0"/>
      <color theme="1"/>
      <name val="Arial"/>
    </font>
    <font>
      <sz val="11.0"/>
      <color theme="1"/>
      <name val="Calibri"/>
    </font>
  </fonts>
  <fills count="13">
    <fill>
      <patternFill patternType="none"/>
    </fill>
    <fill>
      <patternFill patternType="lightGray"/>
    </fill>
    <fill>
      <patternFill patternType="solid">
        <fgColor rgb="FF1F4E78"/>
        <bgColor rgb="FF1F4E78"/>
      </patternFill>
    </fill>
    <fill>
      <patternFill patternType="solid">
        <fgColor rgb="FFFDECEE"/>
        <bgColor rgb="FFFDECEE"/>
      </patternFill>
    </fill>
    <fill>
      <patternFill patternType="solid">
        <fgColor rgb="FFE8F5E9"/>
        <bgColor rgb="FFE8F5E9"/>
      </patternFill>
    </fill>
    <fill>
      <patternFill patternType="solid">
        <fgColor rgb="FFFFF3E0"/>
        <bgColor rgb="FFFFF3E0"/>
      </patternFill>
    </fill>
    <fill>
      <patternFill patternType="solid">
        <fgColor rgb="FFE1F5FE"/>
        <bgColor rgb="FFE1F5FE"/>
      </patternFill>
    </fill>
    <fill>
      <patternFill patternType="solid">
        <fgColor rgb="FFF3E5F5"/>
        <bgColor rgb="FFF3E5F5"/>
      </patternFill>
    </fill>
    <fill>
      <patternFill patternType="solid">
        <fgColor rgb="FFFFF8E1"/>
        <bgColor rgb="FFFFF8E1"/>
      </patternFill>
    </fill>
    <fill>
      <patternFill patternType="solid">
        <fgColor rgb="FFFCE4EC"/>
        <bgColor rgb="FFFCE4EC"/>
      </patternFill>
    </fill>
    <fill>
      <patternFill patternType="solid">
        <fgColor rgb="FFF1F8E9"/>
        <bgColor rgb="FFF1F8E9"/>
      </patternFill>
    </fill>
    <fill>
      <patternFill patternType="solid">
        <fgColor rgb="FFFFF9C4"/>
        <bgColor rgb="FFFFF9C4"/>
      </patternFill>
    </fill>
    <fill>
      <patternFill patternType="solid">
        <fgColor rgb="FFE0E0E0"/>
        <bgColor rgb="FFE0E0E0"/>
      </patternFill>
    </fill>
  </fills>
  <borders count="3">
    <border/>
    <border>
      <left style="thin">
        <color rgb="FFFFFFFF"/>
      </left>
      <right style="thin">
        <color rgb="FFFFFFFF"/>
      </right>
      <top style="thin">
        <color rgb="FFFFFFFF"/>
      </top>
      <bottom style="thin">
        <color rgb="FFFFFFFF"/>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shrinkToFit="0" vertical="top" wrapText="1"/>
    </xf>
    <xf borderId="2" fillId="4" fontId="2" numFmtId="0" xfId="0" applyAlignment="1" applyBorder="1" applyFill="1" applyFont="1">
      <alignment shrinkToFit="0" vertical="top" wrapText="1"/>
    </xf>
    <xf borderId="2" fillId="5" fontId="2" numFmtId="0" xfId="0" applyAlignment="1" applyBorder="1" applyFill="1" applyFont="1">
      <alignment shrinkToFit="0" vertical="top" wrapText="1"/>
    </xf>
    <xf borderId="2" fillId="6" fontId="2" numFmtId="0" xfId="0" applyAlignment="1" applyBorder="1" applyFill="1" applyFont="1">
      <alignment shrinkToFit="0" vertical="top" wrapText="1"/>
    </xf>
    <xf borderId="2" fillId="7" fontId="2" numFmtId="0" xfId="0" applyAlignment="1" applyBorder="1" applyFill="1" applyFont="1">
      <alignment shrinkToFit="0" vertical="top" wrapText="1"/>
    </xf>
    <xf borderId="2" fillId="8" fontId="2" numFmtId="0" xfId="0" applyAlignment="1" applyBorder="1" applyFill="1" applyFont="1">
      <alignment shrinkToFit="0" vertical="top" wrapText="1"/>
    </xf>
    <xf borderId="2" fillId="9" fontId="2" numFmtId="0" xfId="0" applyAlignment="1" applyBorder="1" applyFill="1" applyFont="1">
      <alignment shrinkToFit="0" vertical="top" wrapText="1"/>
    </xf>
    <xf borderId="2" fillId="10" fontId="2" numFmtId="0" xfId="0" applyAlignment="1" applyBorder="1" applyFill="1" applyFont="1">
      <alignment shrinkToFit="0" vertical="top" wrapText="1"/>
    </xf>
    <xf borderId="2" fillId="11" fontId="2" numFmtId="0" xfId="0" applyAlignment="1" applyBorder="1" applyFill="1" applyFont="1">
      <alignment shrinkToFit="0" vertical="top" wrapText="1"/>
    </xf>
    <xf borderId="2" fillId="11" fontId="2" numFmtId="0" xfId="0" applyAlignment="1" applyBorder="1" applyFill="1" applyFont="1">
      <alignment readingOrder="0" shrinkToFit="0" vertical="top" wrapText="1"/>
    </xf>
    <xf borderId="2" fillId="12" fontId="3" numFmtId="0" xfId="0" applyAlignment="1" applyBorder="1" applyFill="1" applyFont="1">
      <alignment shrinkToFit="0" vertical="bottom" wrapText="0"/>
    </xf>
    <xf borderId="2" fillId="12" fontId="4" numFmtId="0" xfId="0" applyAlignment="1" applyBorder="1" applyFill="1" applyFont="1">
      <alignment shrinkToFit="0" vertical="bottom" wrapText="0"/>
    </xf>
    <xf borderId="2"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60.0"/>
    <col customWidth="1" min="4" max="21" width="8.71"/>
  </cols>
  <sheetData>
    <row r="1" ht="36.0" customHeight="1">
      <c r="A1" s="1" t="s">
        <v>0</v>
      </c>
      <c r="B1" s="1" t="s">
        <v>1</v>
      </c>
      <c r="C1" s="1" t="s">
        <v>2</v>
      </c>
    </row>
    <row r="2">
      <c r="A2" s="2" t="s">
        <v>3</v>
      </c>
      <c r="B2" s="2" t="s">
        <v>4</v>
      </c>
      <c r="C2" s="2" t="s">
        <v>5</v>
      </c>
    </row>
    <row r="3">
      <c r="A3" s="2" t="s">
        <v>6</v>
      </c>
      <c r="B3" s="2" t="s">
        <v>4</v>
      </c>
      <c r="C3" s="2" t="s">
        <v>7</v>
      </c>
    </row>
    <row r="4">
      <c r="A4" s="2" t="s">
        <v>8</v>
      </c>
      <c r="B4" s="2" t="s">
        <v>4</v>
      </c>
      <c r="C4" s="2" t="s">
        <v>9</v>
      </c>
    </row>
    <row r="5">
      <c r="A5" s="2" t="s">
        <v>10</v>
      </c>
      <c r="B5" s="2" t="s">
        <v>4</v>
      </c>
      <c r="C5" s="2" t="s">
        <v>11</v>
      </c>
    </row>
    <row r="6">
      <c r="A6" s="2" t="s">
        <v>12</v>
      </c>
      <c r="B6" s="2" t="s">
        <v>4</v>
      </c>
      <c r="C6" s="2" t="s">
        <v>13</v>
      </c>
    </row>
    <row r="7">
      <c r="A7" s="3" t="s">
        <v>14</v>
      </c>
      <c r="B7" s="3" t="s">
        <v>15</v>
      </c>
      <c r="C7" s="3" t="s">
        <v>16</v>
      </c>
    </row>
    <row r="8">
      <c r="A8" s="3" t="s">
        <v>17</v>
      </c>
      <c r="B8" s="3" t="s">
        <v>15</v>
      </c>
      <c r="C8" s="3" t="s">
        <v>18</v>
      </c>
    </row>
    <row r="9">
      <c r="A9" s="3" t="s">
        <v>19</v>
      </c>
      <c r="B9" s="3" t="s">
        <v>15</v>
      </c>
      <c r="C9" s="3" t="s">
        <v>20</v>
      </c>
    </row>
    <row r="10">
      <c r="A10" s="3" t="s">
        <v>21</v>
      </c>
      <c r="B10" s="3" t="s">
        <v>15</v>
      </c>
      <c r="C10" s="3" t="s">
        <v>22</v>
      </c>
    </row>
    <row r="11">
      <c r="A11" s="4" t="s">
        <v>23</v>
      </c>
      <c r="B11" s="4" t="s">
        <v>24</v>
      </c>
      <c r="C11" s="4" t="s">
        <v>25</v>
      </c>
    </row>
    <row r="12">
      <c r="A12" s="4" t="s">
        <v>26</v>
      </c>
      <c r="B12" s="4" t="s">
        <v>24</v>
      </c>
      <c r="C12" s="4" t="s">
        <v>27</v>
      </c>
    </row>
    <row r="13">
      <c r="A13" s="4" t="s">
        <v>28</v>
      </c>
      <c r="B13" s="4" t="s">
        <v>24</v>
      </c>
      <c r="C13" s="4" t="s">
        <v>29</v>
      </c>
    </row>
    <row r="14">
      <c r="A14" s="4" t="s">
        <v>30</v>
      </c>
      <c r="B14" s="4" t="s">
        <v>24</v>
      </c>
      <c r="C14" s="4" t="s">
        <v>31</v>
      </c>
    </row>
    <row r="15">
      <c r="A15" s="4" t="s">
        <v>32</v>
      </c>
      <c r="B15" s="4" t="s">
        <v>24</v>
      </c>
      <c r="C15" s="4" t="s">
        <v>33</v>
      </c>
    </row>
    <row r="16">
      <c r="A16" s="5" t="s">
        <v>34</v>
      </c>
      <c r="B16" s="5" t="s">
        <v>35</v>
      </c>
      <c r="C16" s="5" t="s">
        <v>36</v>
      </c>
    </row>
    <row r="17">
      <c r="A17" s="5" t="s">
        <v>37</v>
      </c>
      <c r="B17" s="5" t="s">
        <v>35</v>
      </c>
      <c r="C17" s="5" t="s">
        <v>38</v>
      </c>
    </row>
    <row r="18">
      <c r="A18" s="5" t="s">
        <v>39</v>
      </c>
      <c r="B18" s="5" t="s">
        <v>35</v>
      </c>
      <c r="C18" s="5" t="s">
        <v>40</v>
      </c>
    </row>
    <row r="19">
      <c r="A19" s="5" t="s">
        <v>41</v>
      </c>
      <c r="B19" s="5" t="s">
        <v>35</v>
      </c>
      <c r="C19" s="5" t="s">
        <v>42</v>
      </c>
    </row>
    <row r="20">
      <c r="A20" s="5" t="s">
        <v>43</v>
      </c>
      <c r="B20" s="5" t="s">
        <v>35</v>
      </c>
      <c r="C20" s="5" t="s">
        <v>44</v>
      </c>
    </row>
    <row r="21" ht="15.75" customHeight="1">
      <c r="A21" s="5" t="s">
        <v>45</v>
      </c>
      <c r="B21" s="5" t="s">
        <v>35</v>
      </c>
      <c r="C21" s="5" t="s">
        <v>46</v>
      </c>
    </row>
    <row r="22" ht="15.75" customHeight="1">
      <c r="A22" s="6" t="s">
        <v>47</v>
      </c>
      <c r="B22" s="6" t="s">
        <v>48</v>
      </c>
      <c r="C22" s="6" t="s">
        <v>49</v>
      </c>
    </row>
    <row r="23" ht="15.75" customHeight="1">
      <c r="A23" s="6" t="s">
        <v>50</v>
      </c>
      <c r="B23" s="6" t="s">
        <v>48</v>
      </c>
      <c r="C23" s="6" t="s">
        <v>51</v>
      </c>
    </row>
    <row r="24" ht="15.75" customHeight="1">
      <c r="A24" s="6" t="s">
        <v>52</v>
      </c>
      <c r="B24" s="6" t="s">
        <v>48</v>
      </c>
      <c r="C24" s="6" t="s">
        <v>53</v>
      </c>
    </row>
    <row r="25" ht="15.75" customHeight="1">
      <c r="A25" s="6" t="s">
        <v>54</v>
      </c>
      <c r="B25" s="6" t="s">
        <v>48</v>
      </c>
      <c r="C25" s="6" t="s">
        <v>55</v>
      </c>
    </row>
    <row r="26" ht="15.75" customHeight="1">
      <c r="A26" s="6" t="s">
        <v>56</v>
      </c>
      <c r="B26" s="6" t="s">
        <v>48</v>
      </c>
      <c r="C26" s="6" t="s">
        <v>57</v>
      </c>
    </row>
    <row r="27" ht="15.75" customHeight="1">
      <c r="A27" s="6" t="s">
        <v>58</v>
      </c>
      <c r="B27" s="6" t="s">
        <v>48</v>
      </c>
      <c r="C27" s="6" t="s">
        <v>59</v>
      </c>
    </row>
    <row r="28" ht="15.75" customHeight="1">
      <c r="A28" s="6" t="s">
        <v>60</v>
      </c>
      <c r="B28" s="6" t="s">
        <v>48</v>
      </c>
      <c r="C28" s="6" t="s">
        <v>61</v>
      </c>
    </row>
    <row r="29" ht="15.75" customHeight="1">
      <c r="A29" s="7" t="s">
        <v>62</v>
      </c>
      <c r="B29" s="7" t="s">
        <v>63</v>
      </c>
      <c r="C29" s="7" t="s">
        <v>64</v>
      </c>
    </row>
    <row r="30" ht="15.75" customHeight="1">
      <c r="A30" s="7" t="s">
        <v>65</v>
      </c>
      <c r="B30" s="7" t="s">
        <v>63</v>
      </c>
      <c r="C30" s="7" t="s">
        <v>66</v>
      </c>
    </row>
    <row r="31" ht="15.75" customHeight="1">
      <c r="A31" s="7" t="s">
        <v>67</v>
      </c>
      <c r="B31" s="7" t="s">
        <v>63</v>
      </c>
      <c r="C31" s="7" t="s">
        <v>68</v>
      </c>
    </row>
    <row r="32" ht="15.75" customHeight="1">
      <c r="A32" s="8" t="s">
        <v>69</v>
      </c>
      <c r="B32" s="8" t="s">
        <v>70</v>
      </c>
      <c r="C32" s="8" t="s">
        <v>71</v>
      </c>
    </row>
    <row r="33" ht="15.75" customHeight="1">
      <c r="A33" s="8" t="s">
        <v>72</v>
      </c>
      <c r="B33" s="8" t="s">
        <v>70</v>
      </c>
      <c r="C33" s="8" t="s">
        <v>73</v>
      </c>
    </row>
    <row r="34" ht="15.75" customHeight="1">
      <c r="A34" s="8" t="s">
        <v>74</v>
      </c>
      <c r="B34" s="8" t="s">
        <v>70</v>
      </c>
      <c r="C34" s="8" t="s">
        <v>75</v>
      </c>
    </row>
    <row r="35" ht="15.75" customHeight="1">
      <c r="A35" s="8" t="s">
        <v>76</v>
      </c>
      <c r="B35" s="8" t="s">
        <v>70</v>
      </c>
      <c r="C35" s="8" t="s">
        <v>77</v>
      </c>
    </row>
    <row r="36" ht="15.75" customHeight="1">
      <c r="A36" s="8" t="s">
        <v>78</v>
      </c>
      <c r="B36" s="8" t="s">
        <v>70</v>
      </c>
      <c r="C36" s="8" t="s">
        <v>79</v>
      </c>
    </row>
    <row r="37" ht="15.75" customHeight="1">
      <c r="A37" s="9" t="s">
        <v>80</v>
      </c>
      <c r="B37" s="9" t="s">
        <v>81</v>
      </c>
      <c r="C37" s="9" t="s">
        <v>82</v>
      </c>
    </row>
    <row r="38" ht="15.75" customHeight="1">
      <c r="A38" s="9" t="s">
        <v>83</v>
      </c>
      <c r="B38" s="9" t="s">
        <v>81</v>
      </c>
      <c r="C38" s="9" t="s">
        <v>84</v>
      </c>
    </row>
    <row r="39" ht="15.75" customHeight="1">
      <c r="A39" s="9" t="s">
        <v>85</v>
      </c>
      <c r="B39" s="9" t="s">
        <v>81</v>
      </c>
      <c r="C39" s="9" t="s">
        <v>86</v>
      </c>
    </row>
    <row r="40" ht="15.75" customHeight="1">
      <c r="A40" s="9" t="s">
        <v>87</v>
      </c>
      <c r="B40" s="9" t="s">
        <v>81</v>
      </c>
      <c r="C40" s="9" t="s">
        <v>88</v>
      </c>
    </row>
    <row r="41" ht="15.75" customHeight="1">
      <c r="A41" s="9" t="s">
        <v>89</v>
      </c>
      <c r="B41" s="9" t="s">
        <v>81</v>
      </c>
      <c r="C41" s="9" t="s">
        <v>90</v>
      </c>
    </row>
    <row r="42" ht="15.75" customHeight="1">
      <c r="A42" s="10" t="s">
        <v>91</v>
      </c>
      <c r="B42" s="10" t="s">
        <v>92</v>
      </c>
      <c r="C42" s="11" t="s">
        <v>93</v>
      </c>
    </row>
    <row r="43" ht="15.75" customHeight="1">
      <c r="A43" s="10" t="s">
        <v>94</v>
      </c>
      <c r="B43" s="10" t="s">
        <v>15</v>
      </c>
      <c r="C43" s="10" t="s">
        <v>95</v>
      </c>
    </row>
    <row r="44" ht="15.75" customHeight="1">
      <c r="A44" s="10" t="s">
        <v>96</v>
      </c>
      <c r="B44" s="10" t="s">
        <v>63</v>
      </c>
      <c r="C44" s="10" t="s">
        <v>97</v>
      </c>
    </row>
    <row r="45" ht="15.75" customHeight="1">
      <c r="A45" s="10" t="s">
        <v>98</v>
      </c>
      <c r="B45" s="10" t="s">
        <v>35</v>
      </c>
      <c r="C45" s="10" t="s">
        <v>99</v>
      </c>
    </row>
    <row r="46" ht="15.75" customHeight="1">
      <c r="A46" s="10" t="s">
        <v>100</v>
      </c>
      <c r="B46" s="10" t="s">
        <v>81</v>
      </c>
      <c r="C46" s="10" t="s">
        <v>101</v>
      </c>
    </row>
    <row r="47" ht="15.75" customHeight="1">
      <c r="A47" s="10" t="s">
        <v>102</v>
      </c>
      <c r="B47" s="10" t="s">
        <v>103</v>
      </c>
      <c r="C47" s="10" t="s">
        <v>104</v>
      </c>
    </row>
    <row r="48" ht="15.75" customHeight="1">
      <c r="A48" s="10" t="s">
        <v>105</v>
      </c>
      <c r="B48" s="10" t="s">
        <v>103</v>
      </c>
      <c r="C48" s="10" t="s">
        <v>106</v>
      </c>
    </row>
    <row r="49" ht="15.75" customHeight="1">
      <c r="A49" s="10" t="s">
        <v>107</v>
      </c>
      <c r="B49" s="10" t="s">
        <v>108</v>
      </c>
      <c r="C49" s="10" t="s">
        <v>109</v>
      </c>
    </row>
    <row r="50" ht="15.75" customHeight="1">
      <c r="A50" s="12" t="s">
        <v>110</v>
      </c>
      <c r="B50" s="13"/>
      <c r="C50" s="1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49"/>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5" width="14.0"/>
    <col customWidth="1" min="6" max="26" width="8.71"/>
  </cols>
  <sheetData>
    <row r="1" ht="30.0" customHeight="1">
      <c r="A1" s="1" t="s">
        <v>1</v>
      </c>
      <c r="B1" s="1" t="s">
        <v>111</v>
      </c>
      <c r="C1" s="1" t="s">
        <v>112</v>
      </c>
      <c r="D1" s="1" t="s">
        <v>113</v>
      </c>
      <c r="E1" s="1" t="s">
        <v>114</v>
      </c>
    </row>
    <row r="2">
      <c r="A2" s="14" t="s">
        <v>4</v>
      </c>
      <c r="B2" s="14">
        <v>5.0</v>
      </c>
      <c r="C2" s="14">
        <v>2.25</v>
      </c>
      <c r="D2" s="14">
        <v>3.0</v>
      </c>
      <c r="E2" s="14">
        <v>5.25</v>
      </c>
    </row>
    <row r="3">
      <c r="A3" s="14" t="s">
        <v>15</v>
      </c>
      <c r="B3" s="14">
        <v>5.0</v>
      </c>
      <c r="C3" s="14">
        <v>3.0</v>
      </c>
      <c r="D3" s="14">
        <v>1.5</v>
      </c>
      <c r="E3" s="14">
        <v>4.5</v>
      </c>
    </row>
    <row r="4">
      <c r="A4" s="14" t="s">
        <v>24</v>
      </c>
      <c r="B4" s="14">
        <v>5.0</v>
      </c>
      <c r="C4" s="14">
        <v>2.75</v>
      </c>
      <c r="D4" s="14">
        <v>2.25</v>
      </c>
      <c r="E4" s="14">
        <v>5.0</v>
      </c>
    </row>
    <row r="5">
      <c r="A5" s="14" t="s">
        <v>35</v>
      </c>
      <c r="B5" s="14">
        <v>7.0</v>
      </c>
      <c r="C5" s="14">
        <v>4.75</v>
      </c>
      <c r="D5" s="14">
        <v>4.25</v>
      </c>
      <c r="E5" s="14">
        <v>9.0</v>
      </c>
    </row>
    <row r="6">
      <c r="A6" s="14" t="s">
        <v>48</v>
      </c>
      <c r="B6" s="14">
        <v>7.0</v>
      </c>
      <c r="C6" s="14">
        <v>3.75</v>
      </c>
      <c r="D6" s="14">
        <v>4.5</v>
      </c>
      <c r="E6" s="14">
        <v>8.25</v>
      </c>
    </row>
    <row r="7">
      <c r="A7" s="14" t="s">
        <v>63</v>
      </c>
      <c r="B7" s="14">
        <v>4.0</v>
      </c>
      <c r="C7" s="14">
        <v>2.5</v>
      </c>
      <c r="D7" s="14">
        <v>1.75</v>
      </c>
      <c r="E7" s="14">
        <v>4.25</v>
      </c>
    </row>
    <row r="8">
      <c r="A8" s="14" t="s">
        <v>70</v>
      </c>
      <c r="B8" s="14">
        <v>5.0</v>
      </c>
      <c r="C8" s="14">
        <v>0.75</v>
      </c>
      <c r="D8" s="14">
        <v>3.25</v>
      </c>
      <c r="E8" s="14">
        <v>4.0</v>
      </c>
    </row>
    <row r="9">
      <c r="A9" s="14" t="s">
        <v>81</v>
      </c>
      <c r="B9" s="14">
        <v>6.0</v>
      </c>
      <c r="C9" s="14">
        <v>4.5</v>
      </c>
      <c r="D9" s="14">
        <v>4.25</v>
      </c>
      <c r="E9" s="14">
        <v>8.75</v>
      </c>
    </row>
    <row r="10">
      <c r="A10" s="14" t="s">
        <v>92</v>
      </c>
      <c r="B10" s="14">
        <v>1.0</v>
      </c>
      <c r="C10" s="14">
        <v>0.25</v>
      </c>
      <c r="D10" s="14">
        <v>1.5</v>
      </c>
      <c r="E10" s="14">
        <v>1.75</v>
      </c>
    </row>
    <row r="11">
      <c r="A11" s="14" t="s">
        <v>103</v>
      </c>
      <c r="B11" s="14">
        <v>2.0</v>
      </c>
      <c r="C11" s="14">
        <v>0.25</v>
      </c>
      <c r="D11" s="14">
        <v>1.25</v>
      </c>
      <c r="E11" s="14">
        <v>1.5</v>
      </c>
    </row>
    <row r="12">
      <c r="A12" s="14" t="s">
        <v>108</v>
      </c>
      <c r="B12" s="14">
        <v>1.0</v>
      </c>
      <c r="C12" s="14">
        <v>0.0</v>
      </c>
      <c r="D12" s="14">
        <v>1.0</v>
      </c>
      <c r="E12" s="14">
        <v>1.0</v>
      </c>
    </row>
    <row r="13">
      <c r="A13" s="12" t="s">
        <v>110</v>
      </c>
      <c r="B13" s="12">
        <f t="shared" ref="B13:E13" si="1">SUM(B2:B12)</f>
        <v>48</v>
      </c>
      <c r="C13" s="12">
        <f t="shared" si="1"/>
        <v>24.75</v>
      </c>
      <c r="D13" s="12">
        <f t="shared" si="1"/>
        <v>28.5</v>
      </c>
      <c r="E13" s="12">
        <f t="shared" si="1"/>
        <v>53.25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